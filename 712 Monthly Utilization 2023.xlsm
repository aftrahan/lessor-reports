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xcel files\"/>
    </mc:Choice>
  </mc:AlternateContent>
  <xr:revisionPtr revIDLastSave="0" documentId="13_ncr:1_{B38EB4BE-2950-4B9C-A143-E82C8D677D80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Jan 2023" sheetId="2" r:id="rId1"/>
    <sheet name="Blank" sheetId="1" r:id="rId2"/>
  </sheets>
  <functionGroups builtInGroupCount="19"/>
  <definedNames>
    <definedName name="_xlnm.Print_Area" localSheetId="1">Blank!$A$1:$O$38</definedName>
    <definedName name="_xlnm.Print_Area" localSheetId="0">'Jan 2023'!$A$1:$O$38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2" l="1"/>
  <c r="G32" i="2" s="1"/>
  <c r="F33" i="2"/>
  <c r="E32" i="2"/>
  <c r="M28" i="2"/>
  <c r="M25" i="2"/>
  <c r="G25" i="2"/>
  <c r="F25" i="2"/>
  <c r="E24" i="2"/>
  <c r="M22" i="2"/>
  <c r="O19" i="2"/>
  <c r="N19" i="2"/>
  <c r="O15" i="2"/>
  <c r="O14" i="2" s="1"/>
  <c r="N15" i="2"/>
  <c r="M14" i="2"/>
  <c r="G13" i="2"/>
  <c r="E13" i="2"/>
  <c r="G33" i="1"/>
  <c r="G32" i="1" s="1"/>
  <c r="F33" i="1"/>
  <c r="F32" i="1" s="1"/>
  <c r="E32" i="1"/>
  <c r="M28" i="1"/>
  <c r="M25" i="1"/>
  <c r="G25" i="1"/>
  <c r="G24" i="1" s="1"/>
  <c r="F25" i="1"/>
  <c r="F24" i="1" s="1"/>
  <c r="E24" i="1"/>
  <c r="M22" i="1"/>
  <c r="O19" i="1"/>
  <c r="N19" i="1"/>
  <c r="O15" i="1"/>
  <c r="O14" i="1" s="1"/>
  <c r="N15" i="1"/>
  <c r="N14" i="1" s="1"/>
  <c r="M14" i="1"/>
  <c r="G13" i="1"/>
  <c r="F13" i="1"/>
  <c r="E13" i="1"/>
  <c r="F26" i="2"/>
  <c r="N29" i="2" a="1"/>
  <c r="N28" i="2" a="1"/>
  <c r="N26" i="2" a="1"/>
  <c r="N25" i="2" a="1"/>
  <c r="N23" i="2" a="1"/>
  <c r="N22" i="2" a="1"/>
  <c r="N13" i="2" a="1"/>
  <c r="F34" i="2" a="1"/>
  <c r="F31" i="2" a="1"/>
  <c r="F23" i="2" a="1"/>
  <c r="F12" i="2" a="1"/>
  <c r="N29" i="2" l="1"/>
  <c r="N28" i="2"/>
  <c r="N26" i="2"/>
  <c r="N25" i="2"/>
  <c r="N23" i="2"/>
  <c r="N22" i="2"/>
  <c r="N13" i="2"/>
  <c r="F34" i="2"/>
  <c r="F31" i="2"/>
  <c r="F23" i="2"/>
  <c r="F12" i="2"/>
  <c r="N14" i="2"/>
  <c r="F32" i="2"/>
  <c r="F24" i="2"/>
  <c r="G24" i="2"/>
  <c r="F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Trahan</author>
  </authors>
  <commentList>
    <comment ref="I33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Alan Trahan:</t>
        </r>
        <r>
          <rPr>
            <sz val="9"/>
            <color indexed="81"/>
            <rFont val="Tahoma"/>
            <family val="2"/>
          </rPr>
          <t xml:space="preserve">
737-NG-HMV-3 YEAR
737-NG-HMV-6 YEAR
737-NG-HMV-8 YEAR
737-NG-HMV-10 YEAR
737-NG-HMV-12 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Trahan</author>
  </authors>
  <commentList>
    <comment ref="I33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Alan Trahan:</t>
        </r>
        <r>
          <rPr>
            <sz val="9"/>
            <color indexed="81"/>
            <rFont val="Tahoma"/>
            <family val="2"/>
          </rPr>
          <t xml:space="preserve">
737-NG-HMV-3 YEAR
737-NG-HMV-6 YEAR
737-NG-HMV-8 YEAR
737-NG-HMV-10 YEAR
737-NG-HMV-12 YEAR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<sst xmlns="http://schemas.openxmlformats.org/spreadsheetml/2006/main" count="207" uniqueCount="73">
  <si>
    <t>From</t>
  </si>
  <si>
    <t>Canadian North</t>
  </si>
  <si>
    <t>Contacts</t>
  </si>
  <si>
    <t>To</t>
  </si>
  <si>
    <t>Contact</t>
  </si>
  <si>
    <t>Utilization Team</t>
  </si>
  <si>
    <t>Monthly Aircraft Utilization and Status Report</t>
  </si>
  <si>
    <t>Reporting Month:</t>
  </si>
  <si>
    <t>Aircraft</t>
  </si>
  <si>
    <t>APU</t>
  </si>
  <si>
    <t>AC Type</t>
  </si>
  <si>
    <t>737-700</t>
  </si>
  <si>
    <t>Serial</t>
  </si>
  <si>
    <t>Manufacturer</t>
  </si>
  <si>
    <t>Honeywell (Garrett)</t>
  </si>
  <si>
    <t>Model</t>
  </si>
  <si>
    <t>131-9B</t>
  </si>
  <si>
    <t>Total Hours &amp; Cycles Since New As Of Last Report</t>
  </si>
  <si>
    <t>Original APU</t>
  </si>
  <si>
    <t>Current APU</t>
  </si>
  <si>
    <t>Hours</t>
  </si>
  <si>
    <t>Cycles</t>
  </si>
  <si>
    <t>Total Hours &amp; Cycles Since New (Current Report)</t>
  </si>
  <si>
    <t>Hours &amp; Cycles Flown During Month</t>
  </si>
  <si>
    <t>Date/Hours/Cycles at Last C Check or Equivalent</t>
  </si>
  <si>
    <t>58876:11</t>
  </si>
  <si>
    <t>Interval for C Check or Equivalent</t>
  </si>
  <si>
    <t>APU Meter Reading</t>
  </si>
  <si>
    <t>Date/Hours/Cycles at Last D Check or Equivalent</t>
  </si>
  <si>
    <t>ACARS/HOBBS Meter Reading As Of Last Report</t>
  </si>
  <si>
    <t>Interval for D Check or Equivalent</t>
  </si>
  <si>
    <t>24000:00</t>
  </si>
  <si>
    <t>ACARS/HOBBS Meter Reading Current Report</t>
  </si>
  <si>
    <t>ACARS/HOBBS Hours &amp; Cycles During Month</t>
  </si>
  <si>
    <t>Engine 1</t>
  </si>
  <si>
    <t>Engine Type</t>
  </si>
  <si>
    <t>Serial #</t>
  </si>
  <si>
    <t>Thrust Rating (lbs)</t>
  </si>
  <si>
    <t>Landing Gear</t>
  </si>
  <si>
    <t>Original Position</t>
  </si>
  <si>
    <t>Current Location</t>
  </si>
  <si>
    <t>Nose Gear</t>
  </si>
  <si>
    <t>Total Hours &amp; Cycles Since New</t>
  </si>
  <si>
    <t>Total Hours &amp; Cycles Since Overhaul</t>
  </si>
  <si>
    <t>Overhaul Interval</t>
  </si>
  <si>
    <t>10 Yrs</t>
  </si>
  <si>
    <t>LH Main Gear</t>
  </si>
  <si>
    <t>Hours &amp; Cycles Since Last Shop Visit</t>
  </si>
  <si>
    <t>Engine 2</t>
  </si>
  <si>
    <t>RH Main Gear</t>
  </si>
  <si>
    <t>Next Major Inspection Due</t>
  </si>
  <si>
    <t>Next C-Check</t>
  </si>
  <si>
    <t>737-NG-HMV-3 YEAR</t>
  </si>
  <si>
    <t>Assembly Changes</t>
  </si>
  <si>
    <t>Additional Comments</t>
  </si>
  <si>
    <t>22K</t>
  </si>
  <si>
    <t>Castle Rock Aviation</t>
  </si>
  <si>
    <t>utilization@castlerock.com</t>
  </si>
  <si>
    <t>Brian Engle, Director, Quality Assurance</t>
  </si>
  <si>
    <t>bengle@canadiannorth.ca</t>
  </si>
  <si>
    <t>Dinah Bellman, Manager, Technical Records</t>
  </si>
  <si>
    <t>dbellman@canadiannorth.ca</t>
  </si>
  <si>
    <t>C-FLGL / 712</t>
  </si>
  <si>
    <t>712 #1</t>
  </si>
  <si>
    <t>712 #2</t>
  </si>
  <si>
    <t>P-5492</t>
  </si>
  <si>
    <t>WO 30597</t>
  </si>
  <si>
    <t>51876:11</t>
  </si>
  <si>
    <t>48928:23</t>
  </si>
  <si>
    <t>CFM56-7B</t>
  </si>
  <si>
    <t>MAL00290Y1665</t>
  </si>
  <si>
    <t>MAL07727Y1665</t>
  </si>
  <si>
    <t>MAL07728Y1665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</si>
</sst>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yyyy"/>
    <numFmt numFmtId="165" formatCode="[h]:mm;@"/>
    <numFmt numFmtId="166" formatCode="[h]:mm"/>
    <numFmt numFmtId="167" formatCode="[$-409]mmmm\ d\,\ yy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7C878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6" fontId="2" fillId="0" borderId="2" xfId="0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66" fontId="2" fillId="0" borderId="4" xfId="0" applyNumberFormat="1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15" fontId="0" fillId="0" borderId="3" xfId="0" applyNumberFormat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0" fillId="0" borderId="1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" fillId="2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0" borderId="1" xfId="0" applyFont="1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3</xdr:col>
      <xdr:colOff>482733</xdr:colOff>
      <xdr:row>2</xdr:row>
      <xdr:rowOff>83821</xdr:rowOff>
    </xdr:to>
    <xdr:pic>
      <xdr:nvPicPr>
        <xdr:cNvPr id="2" name="Picture 1" descr="https://cannorthair.sharepoint.com/sites/canadiannorthhome/marketing%20and%20communications%20resources/logos%20and%20icons/logos/corporate/png/rgb/canadian-north-logo-wide-rgb.png?web=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"/>
          <a:ext cx="2740158" cy="35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19050</xdr:rowOff>
        </xdr:from>
        <xdr:to>
          <xdr:col>18</xdr:col>
          <xdr:colOff>523875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3</xdr:col>
      <xdr:colOff>482733</xdr:colOff>
      <xdr:row>2</xdr:row>
      <xdr:rowOff>83821</xdr:rowOff>
    </xdr:to>
    <xdr:pic>
      <xdr:nvPicPr>
        <xdr:cNvPr id="2" name="Picture 1" descr="https://cannorthair.sharepoint.com/sites/canadiannorthhome/marketing%20and%20communications%20resources/logos%20and%20icons/logos/corporate/png/rgb/canadian-north-logo-wide-rgb.png?web=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"/>
          <a:ext cx="2740158" cy="35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19050</xdr:rowOff>
        </xdr:from>
        <xdr:to>
          <xdr:col>18</xdr:col>
          <xdr:colOff>523875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Month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161925</xdr:colOff>
      <xdr:row>0</xdr:row>
      <xdr:rowOff>114300</xdr:rowOff>
    </xdr:from>
    <xdr:to>
      <xdr:col>3</xdr:col>
      <xdr:colOff>482733</xdr:colOff>
      <xdr:row>2</xdr:row>
      <xdr:rowOff>83821</xdr:rowOff>
    </xdr:to>
    <xdr:pic>
      <xdr:nvPicPr>
        <xdr:cNvPr id="3" name="Picture 2" descr="https://cannorthair.sharepoint.com/sites/canadiannorthhome/marketing%20and%20communications%20resources/logos%20and%20icons/logos/corporate/png/rgb/canadian-north-logo-wide-rgb.png?web=1">
          <a:extLst>
            <a:ext uri="{FF2B5EF4-FFF2-40B4-BE49-F238E27FC236}">
              <a16:creationId xmlns:a16="http://schemas.microsoft.com/office/drawing/2014/main" id="{76881414-C6E1-46C3-AF1D-A8239DE30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14300"/>
          <a:ext cx="2740158" cy="35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2:O38"/>
  <sheetViews>
    <sheetView topLeftCell="A5" workbookViewId="0">
      <selection activeCell="E17" sqref="E17:G18"/>
    </sheetView>
  </sheetViews>
  <sheetFormatPr defaultRowHeight="15" x14ac:dyDescent="0.25"/>
  <cols>
    <col min="1" max="1" width="16.42578125" customWidth="1"/>
    <col min="2" max="2" width="10.7109375" bestFit="1" customWidth="1"/>
    <col min="4" max="4" width="16.42578125" customWidth="1"/>
    <col min="5" max="5" width="10.140625" bestFit="1" customWidth="1"/>
    <col min="8" max="8" width="2.85546875" customWidth="1"/>
    <col min="9" max="9" width="16.42578125" bestFit="1" customWidth="1"/>
    <col min="10" max="10" width="10.7109375" bestFit="1" customWidth="1"/>
    <col min="12" max="12" width="16.42578125" customWidth="1"/>
    <col min="13" max="13" width="10.140625" bestFit="1" customWidth="1"/>
    <col min="14" max="14" width="9.5703125" bestFit="1" customWidth="1"/>
  </cols>
  <sheetData>
    <row r="2" spans="1:15" x14ac:dyDescent="0.25">
      <c r="I2" s="1" t="s">
        <v>0</v>
      </c>
      <c r="J2" s="65" t="s">
        <v>1</v>
      </c>
      <c r="K2" s="65"/>
      <c r="L2" s="65"/>
      <c r="M2" s="65"/>
    </row>
    <row r="3" spans="1:15" x14ac:dyDescent="0.25">
      <c r="I3" s="1" t="s">
        <v>2</v>
      </c>
      <c r="J3" s="65" t="s">
        <v>58</v>
      </c>
      <c r="K3" s="65"/>
      <c r="L3" s="65"/>
      <c r="M3" s="65"/>
    </row>
    <row r="4" spans="1:15" x14ac:dyDescent="0.25">
      <c r="A4" s="1" t="s">
        <v>3</v>
      </c>
      <c r="B4" s="65" t="s">
        <v>56</v>
      </c>
      <c r="C4" s="65"/>
      <c r="D4" s="65"/>
      <c r="E4" s="65"/>
      <c r="J4" s="65" t="s">
        <v>59</v>
      </c>
      <c r="K4" s="65"/>
      <c r="L4" s="65"/>
      <c r="M4" s="65"/>
    </row>
    <row r="5" spans="1:15" x14ac:dyDescent="0.25">
      <c r="A5" s="1" t="s">
        <v>4</v>
      </c>
      <c r="B5" s="65" t="s">
        <v>5</v>
      </c>
      <c r="C5" s="65"/>
      <c r="D5" s="65"/>
      <c r="E5" s="65"/>
      <c r="J5" s="65" t="s">
        <v>60</v>
      </c>
      <c r="K5" s="65"/>
      <c r="L5" s="65"/>
      <c r="M5" s="65"/>
    </row>
    <row r="6" spans="1:15" x14ac:dyDescent="0.25">
      <c r="A6" s="1"/>
      <c r="B6" s="65" t="s">
        <v>57</v>
      </c>
      <c r="C6" s="65"/>
      <c r="D6" s="65"/>
      <c r="E6" s="65"/>
      <c r="J6" s="65" t="s">
        <v>61</v>
      </c>
      <c r="K6" s="65"/>
      <c r="L6" s="65"/>
      <c r="M6" s="65"/>
    </row>
    <row r="7" spans="1:15" x14ac:dyDescent="0.25">
      <c r="A7" s="1"/>
    </row>
    <row r="8" spans="1:15" x14ac:dyDescent="0.25">
      <c r="A8" s="1"/>
      <c r="B8" s="66" t="s">
        <v>6</v>
      </c>
      <c r="C8" s="66"/>
      <c r="D8" s="66"/>
      <c r="E8" s="66"/>
      <c r="I8" s="1"/>
      <c r="J8" s="67" t="s">
        <v>7</v>
      </c>
      <c r="K8" s="67"/>
      <c r="L8" s="2">
        <v>44957</v>
      </c>
    </row>
    <row r="9" spans="1:15" x14ac:dyDescent="0.25">
      <c r="A9" s="1"/>
    </row>
    <row r="10" spans="1:15" x14ac:dyDescent="0.25">
      <c r="A10" s="46" t="s">
        <v>8</v>
      </c>
      <c r="B10" s="46"/>
      <c r="C10" s="46"/>
      <c r="D10" s="46"/>
      <c r="E10" s="46"/>
      <c r="F10" s="46"/>
      <c r="G10" s="46"/>
      <c r="H10" s="3"/>
      <c r="I10" s="46" t="s">
        <v>9</v>
      </c>
      <c r="J10" s="46"/>
      <c r="K10" s="46"/>
      <c r="L10" s="46"/>
      <c r="M10" s="46"/>
      <c r="N10" s="46"/>
      <c r="O10" s="46"/>
    </row>
    <row r="11" spans="1:15" x14ac:dyDescent="0.25">
      <c r="A11" s="4" t="s">
        <v>10</v>
      </c>
      <c r="B11" s="5" t="s">
        <v>11</v>
      </c>
      <c r="C11" s="4" t="s">
        <v>12</v>
      </c>
      <c r="D11" s="5">
        <v>54213</v>
      </c>
      <c r="E11" s="4"/>
      <c r="F11" s="59" t="s">
        <v>62</v>
      </c>
      <c r="G11" s="59"/>
      <c r="H11" s="3"/>
      <c r="I11" s="6" t="s">
        <v>13</v>
      </c>
      <c r="J11" s="60" t="s">
        <v>14</v>
      </c>
      <c r="K11" s="61"/>
      <c r="L11" s="6" t="s">
        <v>15</v>
      </c>
      <c r="M11" s="62" t="s">
        <v>16</v>
      </c>
      <c r="N11" s="63"/>
      <c r="O11" s="64"/>
    </row>
    <row r="12" spans="1:15" x14ac:dyDescent="0.25">
      <c r="A12" s="50" t="s">
        <v>17</v>
      </c>
      <c r="B12" s="50"/>
      <c r="C12" s="50"/>
      <c r="D12" s="50"/>
      <c r="E12" s="7">
        <v>44926</v>
      </c>
      <c r="F12" s="8" cm="1">
        <f t="array" ref="F12">InitialTime(54558,55)</f>
        <v>2273.2881944444443</v>
      </c>
      <c r="G12" s="5">
        <v>25703</v>
      </c>
      <c r="H12" s="3"/>
      <c r="I12" s="9" t="s">
        <v>18</v>
      </c>
      <c r="J12" s="10" t="s">
        <v>65</v>
      </c>
      <c r="K12" s="11"/>
      <c r="L12" s="12" t="s">
        <v>19</v>
      </c>
      <c r="M12" s="10" t="s">
        <v>65</v>
      </c>
      <c r="N12" s="13" t="s">
        <v>20</v>
      </c>
      <c r="O12" s="14" t="s">
        <v>21</v>
      </c>
    </row>
    <row r="13" spans="1:15" x14ac:dyDescent="0.25">
      <c r="A13" s="50" t="s">
        <v>22</v>
      </c>
      <c r="B13" s="50"/>
      <c r="C13" s="50"/>
      <c r="D13" s="50"/>
      <c r="E13" s="7">
        <f>L8</f>
        <v>44957</v>
      </c>
      <c r="F13" s="15">
        <f>F12+F14</f>
        <v>2277.6305555555555</v>
      </c>
      <c r="G13" s="5">
        <f>G12+G14</f>
        <v>25780</v>
      </c>
      <c r="H13" s="3"/>
      <c r="I13" s="40" t="s">
        <v>17</v>
      </c>
      <c r="J13" s="41"/>
      <c r="K13" s="41"/>
      <c r="L13" s="51"/>
      <c r="M13" s="7">
        <v>44926</v>
      </c>
      <c r="N13" s="15" cm="1">
        <f t="array" ref="N13">InitialTime(27518,11)</f>
        <v>1146.590972222222</v>
      </c>
      <c r="O13" s="5">
        <v>35033</v>
      </c>
    </row>
    <row r="14" spans="1:15" x14ac:dyDescent="0.25">
      <c r="A14" s="16"/>
      <c r="B14" s="50" t="s">
        <v>23</v>
      </c>
      <c r="C14" s="50"/>
      <c r="D14" s="40"/>
      <c r="E14" s="17"/>
      <c r="F14" s="18">
        <v>4.3423611111111109</v>
      </c>
      <c r="G14" s="19">
        <v>77</v>
      </c>
      <c r="H14" s="3"/>
      <c r="I14" s="40" t="s">
        <v>22</v>
      </c>
      <c r="J14" s="41"/>
      <c r="K14" s="41"/>
      <c r="L14" s="51"/>
      <c r="M14" s="7">
        <f>L8</f>
        <v>44957</v>
      </c>
      <c r="N14" s="15">
        <f>N13+N15</f>
        <v>1150.9333333333332</v>
      </c>
      <c r="O14" s="5">
        <f>O13+O15</f>
        <v>35110</v>
      </c>
    </row>
    <row r="15" spans="1:15" x14ac:dyDescent="0.25">
      <c r="A15" s="50" t="s">
        <v>24</v>
      </c>
      <c r="B15" s="50"/>
      <c r="C15" s="50"/>
      <c r="D15" s="50"/>
      <c r="E15" s="7">
        <v>44233</v>
      </c>
      <c r="F15" s="15" t="s">
        <v>67</v>
      </c>
      <c r="G15" s="5">
        <v>20842</v>
      </c>
      <c r="H15" s="3"/>
      <c r="I15" s="20"/>
      <c r="J15" s="56" t="s">
        <v>23</v>
      </c>
      <c r="K15" s="57"/>
      <c r="L15" s="57"/>
      <c r="M15" s="11"/>
      <c r="N15" s="15">
        <f>F14</f>
        <v>4.3423611111111109</v>
      </c>
      <c r="O15" s="5">
        <f>G14</f>
        <v>77</v>
      </c>
    </row>
    <row r="16" spans="1:15" x14ac:dyDescent="0.25">
      <c r="A16" s="4"/>
      <c r="B16" s="50" t="s">
        <v>26</v>
      </c>
      <c r="C16" s="50"/>
      <c r="D16" s="40"/>
      <c r="E16" s="21"/>
      <c r="F16" s="15">
        <v>166.66666666666666</v>
      </c>
      <c r="G16" s="5"/>
      <c r="H16" s="3"/>
      <c r="I16" s="58" t="s">
        <v>27</v>
      </c>
      <c r="J16" s="58"/>
      <c r="K16" s="58"/>
      <c r="L16" s="58"/>
      <c r="M16" s="52" t="s">
        <v>66</v>
      </c>
      <c r="N16" s="53"/>
      <c r="O16" s="54"/>
    </row>
    <row r="17" spans="1:15" x14ac:dyDescent="0.25">
      <c r="A17" s="4" t="s">
        <v>28</v>
      </c>
      <c r="B17" s="4"/>
      <c r="C17" s="16"/>
      <c r="D17" s="16"/>
      <c r="E17" s="7">
        <v>43809</v>
      </c>
      <c r="F17" s="15" t="s">
        <v>68</v>
      </c>
      <c r="G17" s="5">
        <v>18023</v>
      </c>
      <c r="H17" s="3"/>
      <c r="I17" s="50" t="s">
        <v>29</v>
      </c>
      <c r="J17" s="50"/>
      <c r="K17" s="50"/>
      <c r="L17" s="50"/>
      <c r="M17" s="22">
        <v>44923</v>
      </c>
      <c r="N17" s="5">
        <v>30496.799999999999</v>
      </c>
      <c r="O17" s="5">
        <v>35481</v>
      </c>
    </row>
    <row r="18" spans="1:15" x14ac:dyDescent="0.25">
      <c r="A18" s="4"/>
      <c r="B18" s="50" t="s">
        <v>30</v>
      </c>
      <c r="C18" s="50"/>
      <c r="D18" s="40"/>
      <c r="E18" s="21"/>
      <c r="F18" s="15" t="s">
        <v>31</v>
      </c>
      <c r="G18" s="5"/>
      <c r="H18" s="3"/>
      <c r="I18" s="50" t="s">
        <v>32</v>
      </c>
      <c r="J18" s="50"/>
      <c r="K18" s="50"/>
      <c r="L18" s="50"/>
      <c r="M18" s="22">
        <v>44960</v>
      </c>
      <c r="N18" s="5">
        <v>30870.7</v>
      </c>
      <c r="O18" s="5">
        <v>35589</v>
      </c>
    </row>
    <row r="19" spans="1:15" x14ac:dyDescent="0.25">
      <c r="A19" s="3"/>
      <c r="B19" s="3"/>
      <c r="C19" s="3"/>
      <c r="D19" s="3"/>
      <c r="E19" s="23"/>
      <c r="F19" s="3"/>
      <c r="G19" s="3"/>
      <c r="H19" s="3"/>
      <c r="I19" s="4"/>
      <c r="J19" s="40" t="s">
        <v>33</v>
      </c>
      <c r="K19" s="41"/>
      <c r="L19" s="41"/>
      <c r="M19" s="51"/>
      <c r="N19" s="5">
        <f>N18-N17</f>
        <v>373.90000000000146</v>
      </c>
      <c r="O19" s="5">
        <f>O18-O17</f>
        <v>108</v>
      </c>
    </row>
    <row r="20" spans="1:15" x14ac:dyDescent="0.25">
      <c r="A20" s="46" t="s">
        <v>34</v>
      </c>
      <c r="B20" s="46"/>
      <c r="C20" s="46"/>
      <c r="D20" s="46"/>
      <c r="E20" s="46"/>
      <c r="F20" s="46"/>
      <c r="G20" s="46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4" t="s">
        <v>35</v>
      </c>
      <c r="B21" s="5" t="s">
        <v>69</v>
      </c>
      <c r="C21" s="4" t="s">
        <v>36</v>
      </c>
      <c r="D21" s="5">
        <v>885032</v>
      </c>
      <c r="E21" s="55" t="s">
        <v>37</v>
      </c>
      <c r="F21" s="55"/>
      <c r="G21" s="5" t="s">
        <v>55</v>
      </c>
      <c r="H21" s="3"/>
      <c r="I21" s="46" t="s">
        <v>38</v>
      </c>
      <c r="J21" s="46"/>
      <c r="K21" s="46"/>
      <c r="L21" s="46"/>
      <c r="M21" s="46"/>
      <c r="N21" s="46"/>
      <c r="O21" s="46"/>
    </row>
    <row r="22" spans="1:15" x14ac:dyDescent="0.25">
      <c r="A22" s="4" t="s">
        <v>39</v>
      </c>
      <c r="B22" s="5" t="s">
        <v>63</v>
      </c>
      <c r="C22" s="16"/>
      <c r="D22" s="4" t="s">
        <v>40</v>
      </c>
      <c r="E22" s="5" t="s">
        <v>63</v>
      </c>
      <c r="F22" s="19" t="s">
        <v>20</v>
      </c>
      <c r="G22" s="19" t="s">
        <v>21</v>
      </c>
      <c r="H22" s="3"/>
      <c r="I22" s="24" t="s">
        <v>41</v>
      </c>
      <c r="J22" s="50" t="s">
        <v>42</v>
      </c>
      <c r="K22" s="50"/>
      <c r="L22" s="50"/>
      <c r="M22" s="22">
        <f>L8</f>
        <v>44957</v>
      </c>
      <c r="N22" s="15" cm="1">
        <f t="array" ref="N22">InitialTime(53977,5)</f>
        <v>2249.0451388888887</v>
      </c>
      <c r="O22" s="5">
        <v>25325</v>
      </c>
    </row>
    <row r="23" spans="1:15" x14ac:dyDescent="0.25">
      <c r="A23" s="50" t="s">
        <v>17</v>
      </c>
      <c r="B23" s="50"/>
      <c r="C23" s="50"/>
      <c r="D23" s="50"/>
      <c r="E23" s="7">
        <v>44926</v>
      </c>
      <c r="F23" s="15" cm="1">
        <f t="array" ref="F23">InitialTime(54169,48)</f>
        <v>2257.0749999999998</v>
      </c>
      <c r="G23" s="5">
        <v>25017</v>
      </c>
      <c r="H23" s="3"/>
      <c r="I23" s="25" t="s">
        <v>70</v>
      </c>
      <c r="J23" s="50" t="s">
        <v>43</v>
      </c>
      <c r="K23" s="50"/>
      <c r="L23" s="50"/>
      <c r="M23" s="22">
        <v>41850</v>
      </c>
      <c r="N23" s="15" cm="1">
        <f t="array" ref="N23">InitialTime(20152,23)</f>
        <v>839.68263888888885</v>
      </c>
      <c r="O23" s="5">
        <v>9317</v>
      </c>
    </row>
    <row r="24" spans="1:15" x14ac:dyDescent="0.25">
      <c r="A24" s="50" t="s">
        <v>22</v>
      </c>
      <c r="B24" s="50"/>
      <c r="C24" s="50"/>
      <c r="D24" s="50"/>
      <c r="E24" s="7">
        <f>L8</f>
        <v>44957</v>
      </c>
      <c r="F24" s="15">
        <f>F23+F25</f>
        <v>2261.4173611111109</v>
      </c>
      <c r="G24" s="5">
        <f>G23+G25</f>
        <v>25094</v>
      </c>
      <c r="H24" s="3"/>
      <c r="I24" s="26"/>
      <c r="J24" s="16"/>
      <c r="K24" s="50" t="s">
        <v>44</v>
      </c>
      <c r="L24" s="50"/>
      <c r="M24" s="5" t="s">
        <v>45</v>
      </c>
      <c r="N24" s="16"/>
      <c r="O24" s="5">
        <v>21000</v>
      </c>
    </row>
    <row r="25" spans="1:15" x14ac:dyDescent="0.25">
      <c r="A25" s="20"/>
      <c r="B25" s="50" t="s">
        <v>23</v>
      </c>
      <c r="C25" s="50"/>
      <c r="D25" s="40"/>
      <c r="E25" s="11"/>
      <c r="F25" s="15">
        <f>F14</f>
        <v>4.3423611111111109</v>
      </c>
      <c r="G25" s="5">
        <f>G14</f>
        <v>77</v>
      </c>
      <c r="H25" s="3"/>
      <c r="I25" s="24" t="s">
        <v>46</v>
      </c>
      <c r="J25" s="50" t="s">
        <v>42</v>
      </c>
      <c r="K25" s="50"/>
      <c r="L25" s="50"/>
      <c r="M25" s="22">
        <f>L8</f>
        <v>44957</v>
      </c>
      <c r="N25" s="15" cm="1">
        <f t="array" ref="N25">InitialTime(53977,5)</f>
        <v>2249.0451388888887</v>
      </c>
      <c r="O25" s="5">
        <v>25325</v>
      </c>
    </row>
    <row r="26" spans="1:15" x14ac:dyDescent="0.25">
      <c r="A26" s="27"/>
      <c r="B26" s="50" t="s">
        <v>47</v>
      </c>
      <c r="C26" s="50"/>
      <c r="D26" s="40"/>
      <c r="E26" s="7">
        <v>42774</v>
      </c>
      <c r="F26" s="15">
        <f>InitialTime(13001,59)</f>
        <v>541.74930555555557</v>
      </c>
      <c r="G26" s="5">
        <v>5535</v>
      </c>
      <c r="H26" s="3"/>
      <c r="I26" s="25" t="s">
        <v>71</v>
      </c>
      <c r="J26" s="50" t="s">
        <v>43</v>
      </c>
      <c r="K26" s="50"/>
      <c r="L26" s="50"/>
      <c r="M26" s="22">
        <v>41850</v>
      </c>
      <c r="N26" s="15" cm="1">
        <f t="array" ref="N26">InitialTime(20152,23)</f>
        <v>839.68263888888885</v>
      </c>
      <c r="O26" s="5">
        <v>9317</v>
      </c>
    </row>
    <row r="27" spans="1:15" x14ac:dyDescent="0.25">
      <c r="H27" s="3"/>
      <c r="I27" s="26"/>
      <c r="J27" s="16"/>
      <c r="K27" s="50" t="s">
        <v>44</v>
      </c>
      <c r="L27" s="50"/>
      <c r="M27" s="5" t="s">
        <v>45</v>
      </c>
      <c r="N27" s="16"/>
      <c r="O27" s="5">
        <v>21000</v>
      </c>
    </row>
    <row r="28" spans="1:15" x14ac:dyDescent="0.25">
      <c r="A28" s="42" t="s">
        <v>48</v>
      </c>
      <c r="B28" s="42"/>
      <c r="C28" s="42"/>
      <c r="D28" s="42"/>
      <c r="E28" s="42"/>
      <c r="F28" s="42"/>
      <c r="G28" s="42"/>
      <c r="H28" s="3"/>
      <c r="I28" s="24" t="s">
        <v>49</v>
      </c>
      <c r="J28" s="50" t="s">
        <v>42</v>
      </c>
      <c r="K28" s="50"/>
      <c r="L28" s="50"/>
      <c r="M28" s="22">
        <f>L8</f>
        <v>44957</v>
      </c>
      <c r="N28" s="15" cm="1">
        <f t="array" ref="N28">InitialTime(53977,5)</f>
        <v>2249.0451388888887</v>
      </c>
      <c r="O28" s="5">
        <v>25325</v>
      </c>
    </row>
    <row r="29" spans="1:15" x14ac:dyDescent="0.25">
      <c r="A29" s="4" t="s">
        <v>35</v>
      </c>
      <c r="B29" s="5" t="s">
        <v>69</v>
      </c>
      <c r="C29" s="4" t="s">
        <v>36</v>
      </c>
      <c r="D29" s="5">
        <v>872541</v>
      </c>
      <c r="E29" s="6" t="s">
        <v>37</v>
      </c>
      <c r="F29" s="6"/>
      <c r="G29" s="5" t="s">
        <v>55</v>
      </c>
      <c r="H29" s="3"/>
      <c r="I29" s="25" t="s">
        <v>72</v>
      </c>
      <c r="J29" s="50" t="s">
        <v>43</v>
      </c>
      <c r="K29" s="50"/>
      <c r="L29" s="50"/>
      <c r="M29" s="22">
        <v>41850</v>
      </c>
      <c r="N29" s="15" cm="1">
        <f t="array" ref="N29">InitialTime(20152,23)</f>
        <v>839.68263888888885</v>
      </c>
      <c r="O29" s="5">
        <v>9317</v>
      </c>
    </row>
    <row r="30" spans="1:15" x14ac:dyDescent="0.25">
      <c r="A30" s="4" t="s">
        <v>39</v>
      </c>
      <c r="B30" s="5" t="s">
        <v>64</v>
      </c>
      <c r="C30" s="16"/>
      <c r="D30" s="4" t="s">
        <v>40</v>
      </c>
      <c r="E30" s="5" t="s">
        <v>64</v>
      </c>
      <c r="F30" s="19" t="s">
        <v>20</v>
      </c>
      <c r="G30" s="19" t="s">
        <v>21</v>
      </c>
      <c r="H30" s="3"/>
      <c r="I30" s="26"/>
      <c r="J30" s="16"/>
      <c r="K30" s="50" t="s">
        <v>44</v>
      </c>
      <c r="L30" s="50"/>
      <c r="M30" s="5" t="s">
        <v>45</v>
      </c>
      <c r="N30" s="16"/>
      <c r="O30" s="5">
        <v>21000</v>
      </c>
    </row>
    <row r="31" spans="1:15" x14ac:dyDescent="0.25">
      <c r="A31" s="40" t="s">
        <v>17</v>
      </c>
      <c r="B31" s="41"/>
      <c r="C31" s="41"/>
      <c r="D31" s="51"/>
      <c r="E31" s="7">
        <v>44926</v>
      </c>
      <c r="F31" s="15" cm="1">
        <f t="array" ref="F31">InitialTime(52292,58)</f>
        <v>2178.8736111111111</v>
      </c>
      <c r="G31" s="5">
        <v>24542</v>
      </c>
      <c r="H31" s="3"/>
      <c r="I31" s="3"/>
      <c r="J31" s="3"/>
      <c r="K31" s="3"/>
      <c r="L31" s="3"/>
      <c r="M31" s="3"/>
      <c r="N31" s="3"/>
      <c r="O31" s="3"/>
    </row>
    <row r="32" spans="1:15" x14ac:dyDescent="0.25">
      <c r="A32" s="40" t="s">
        <v>22</v>
      </c>
      <c r="B32" s="41"/>
      <c r="C32" s="41"/>
      <c r="D32" s="51"/>
      <c r="E32" s="7">
        <f>L8</f>
        <v>44957</v>
      </c>
      <c r="F32" s="15">
        <f>F31+F33</f>
        <v>2183.2159722222223</v>
      </c>
      <c r="G32" s="5">
        <f>G31+G33</f>
        <v>24619</v>
      </c>
      <c r="H32" s="3"/>
      <c r="I32" s="46" t="s">
        <v>50</v>
      </c>
      <c r="J32" s="46"/>
      <c r="K32" s="46"/>
      <c r="L32" s="46"/>
      <c r="M32" s="46"/>
      <c r="N32" s="46"/>
      <c r="O32" s="46"/>
    </row>
    <row r="33" spans="1:15" x14ac:dyDescent="0.25">
      <c r="A33" s="20"/>
      <c r="B33" s="40" t="s">
        <v>23</v>
      </c>
      <c r="C33" s="41"/>
      <c r="D33" s="41"/>
      <c r="E33" s="11"/>
      <c r="F33" s="15">
        <f>F14</f>
        <v>4.3423611111111109</v>
      </c>
      <c r="G33" s="5">
        <f>G14</f>
        <v>77</v>
      </c>
      <c r="H33" s="3"/>
      <c r="I33" s="47" t="s">
        <v>51</v>
      </c>
      <c r="J33" s="47"/>
      <c r="K33" s="48" t="s">
        <v>52</v>
      </c>
      <c r="L33" s="48"/>
      <c r="M33" s="49">
        <v>45983</v>
      </c>
      <c r="N33" s="49"/>
      <c r="O33" s="49"/>
    </row>
    <row r="34" spans="1:15" x14ac:dyDescent="0.25">
      <c r="A34" s="27"/>
      <c r="B34" s="40" t="s">
        <v>47</v>
      </c>
      <c r="C34" s="41"/>
      <c r="D34" s="41"/>
      <c r="E34" s="7">
        <v>42793</v>
      </c>
      <c r="F34" s="15" cm="1">
        <f t="array" ref="F34">InitialTime(11023,19)</f>
        <v>459.30486111111111</v>
      </c>
      <c r="G34" s="5">
        <v>5168</v>
      </c>
      <c r="H34" s="3"/>
    </row>
    <row r="35" spans="1:15" x14ac:dyDescent="0.25">
      <c r="H35" s="3"/>
      <c r="I35" s="46" t="s">
        <v>54</v>
      </c>
      <c r="J35" s="46"/>
      <c r="K35" s="46"/>
      <c r="L35" s="46"/>
      <c r="M35" s="46"/>
      <c r="N35" s="46"/>
      <c r="O35" s="46"/>
    </row>
    <row r="36" spans="1:15" x14ac:dyDescent="0.25">
      <c r="A36" s="42" t="s">
        <v>53</v>
      </c>
      <c r="B36" s="42"/>
      <c r="C36" s="42"/>
      <c r="D36" s="42"/>
      <c r="E36" s="42"/>
      <c r="F36" s="42"/>
      <c r="G36" s="42"/>
      <c r="H36" s="3"/>
      <c r="I36" s="43"/>
      <c r="J36" s="44"/>
      <c r="K36" s="44"/>
      <c r="L36" s="44"/>
      <c r="M36" s="44"/>
      <c r="N36" s="44"/>
      <c r="O36" s="45"/>
    </row>
    <row r="37" spans="1:15" x14ac:dyDescent="0.25">
      <c r="A37" s="28"/>
      <c r="B37" s="29"/>
      <c r="C37" s="29"/>
      <c r="D37" s="29"/>
      <c r="E37" s="29"/>
      <c r="F37" s="29"/>
      <c r="G37" s="30"/>
      <c r="I37" s="31"/>
      <c r="J37" s="32"/>
      <c r="K37" s="32"/>
      <c r="L37" s="32"/>
      <c r="M37" s="32"/>
      <c r="N37" s="32"/>
      <c r="O37" s="33"/>
    </row>
    <row r="38" spans="1:15" x14ac:dyDescent="0.25">
      <c r="A38" s="34"/>
      <c r="B38" s="35"/>
      <c r="C38" s="35"/>
      <c r="D38" s="35"/>
      <c r="E38" s="35"/>
      <c r="F38" s="35"/>
      <c r="G38" s="36"/>
      <c r="I38" s="37"/>
      <c r="J38" s="38"/>
      <c r="K38" s="38"/>
      <c r="L38" s="38"/>
      <c r="M38" s="38"/>
      <c r="N38" s="38"/>
      <c r="O38" s="39"/>
    </row>
  </sheetData>
  <mergeCells count="61">
    <mergeCell ref="J2:M2"/>
    <mergeCell ref="J3:M3"/>
    <mergeCell ref="B4:E4"/>
    <mergeCell ref="J4:M4"/>
    <mergeCell ref="B5:E5"/>
    <mergeCell ref="J5:M5"/>
    <mergeCell ref="B6:E6"/>
    <mergeCell ref="J6:M6"/>
    <mergeCell ref="B8:E8"/>
    <mergeCell ref="J8:K8"/>
    <mergeCell ref="A10:G10"/>
    <mergeCell ref="I10:O10"/>
    <mergeCell ref="F11:G11"/>
    <mergeCell ref="J11:K11"/>
    <mergeCell ref="M11:O11"/>
    <mergeCell ref="A12:D12"/>
    <mergeCell ref="A13:D13"/>
    <mergeCell ref="I13:L13"/>
    <mergeCell ref="B14:D14"/>
    <mergeCell ref="I14:L14"/>
    <mergeCell ref="A15:D15"/>
    <mergeCell ref="J15:L15"/>
    <mergeCell ref="B16:D16"/>
    <mergeCell ref="I16:L16"/>
    <mergeCell ref="A24:D24"/>
    <mergeCell ref="K24:L24"/>
    <mergeCell ref="M16:O16"/>
    <mergeCell ref="I17:L17"/>
    <mergeCell ref="B18:D18"/>
    <mergeCell ref="I18:L18"/>
    <mergeCell ref="J19:M19"/>
    <mergeCell ref="A20:G20"/>
    <mergeCell ref="E21:F21"/>
    <mergeCell ref="I21:O21"/>
    <mergeCell ref="J22:L22"/>
    <mergeCell ref="A23:D23"/>
    <mergeCell ref="J23:L23"/>
    <mergeCell ref="B33:D33"/>
    <mergeCell ref="I33:J33"/>
    <mergeCell ref="K33:L33"/>
    <mergeCell ref="M33:O33"/>
    <mergeCell ref="B25:D25"/>
    <mergeCell ref="J25:L25"/>
    <mergeCell ref="B26:D26"/>
    <mergeCell ref="J26:L26"/>
    <mergeCell ref="K27:L27"/>
    <mergeCell ref="A28:G28"/>
    <mergeCell ref="J28:L28"/>
    <mergeCell ref="J29:L29"/>
    <mergeCell ref="K30:L30"/>
    <mergeCell ref="A31:D31"/>
    <mergeCell ref="A32:D32"/>
    <mergeCell ref="I32:O32"/>
    <mergeCell ref="A37:G37"/>
    <mergeCell ref="I37:O37"/>
    <mergeCell ref="A38:G38"/>
    <mergeCell ref="I38:O38"/>
    <mergeCell ref="B34:D34"/>
    <mergeCell ref="A36:G36"/>
    <mergeCell ref="I36:O36"/>
    <mergeCell ref="I35:O35"/>
  </mergeCells>
  <pageMargins left="0.7" right="0.7" top="0.75" bottom="0.75" header="0.3" footer="0.3"/>
  <pageSetup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NewMonth">
                <anchor moveWithCells="1" sizeWithCells="1">
                  <from>
                    <xdr:col>16</xdr:col>
                    <xdr:colOff>95250</xdr:colOff>
                    <xdr:row>1</xdr:row>
                    <xdr:rowOff>19050</xdr:rowOff>
                  </from>
                  <to>
                    <xdr:col>18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pageSetUpPr fitToPage="1"/>
  </sheetPr>
  <dimension ref="A2:O38"/>
  <sheetViews>
    <sheetView tabSelected="1" workbookViewId="0">
      <selection activeCell="D17" sqref="D17"/>
    </sheetView>
  </sheetViews>
  <sheetFormatPr defaultRowHeight="15" x14ac:dyDescent="0.25"/>
  <cols>
    <col min="1" max="1" width="16.42578125" customWidth="1"/>
    <col min="2" max="2" width="10.7109375" bestFit="1" customWidth="1"/>
    <col min="4" max="4" width="16.42578125" customWidth="1"/>
    <col min="5" max="5" width="10.140625" bestFit="1" customWidth="1"/>
    <col min="8" max="8" width="2.85546875" customWidth="1"/>
    <col min="9" max="9" width="16.42578125" bestFit="1" customWidth="1"/>
    <col min="10" max="10" width="10.7109375" bestFit="1" customWidth="1"/>
    <col min="12" max="12" width="16.42578125" customWidth="1"/>
    <col min="13" max="13" width="10.140625" bestFit="1" customWidth="1"/>
  </cols>
  <sheetData>
    <row r="2" spans="1:15" x14ac:dyDescent="0.25">
      <c r="I2" s="1" t="s">
        <v>0</v>
      </c>
      <c r="J2" s="65" t="s">
        <v>1</v>
      </c>
      <c r="K2" s="65"/>
      <c r="L2" s="65"/>
      <c r="M2" s="65"/>
    </row>
    <row r="3" spans="1:15" x14ac:dyDescent="0.25">
      <c r="I3" s="1" t="s">
        <v>2</v>
      </c>
      <c r="J3" s="65" t="s">
        <v>58</v>
      </c>
      <c r="K3" s="65"/>
      <c r="L3" s="65"/>
      <c r="M3" s="65"/>
    </row>
    <row r="4" spans="1:15" x14ac:dyDescent="0.25">
      <c r="A4" s="1" t="s">
        <v>3</v>
      </c>
      <c r="B4" s="65" t="s">
        <v>56</v>
      </c>
      <c r="C4" s="65"/>
      <c r="D4" s="65"/>
      <c r="E4" s="65"/>
      <c r="J4" s="65" t="s">
        <v>59</v>
      </c>
      <c r="K4" s="65"/>
      <c r="L4" s="65"/>
      <c r="M4" s="65"/>
    </row>
    <row r="5" spans="1:15" x14ac:dyDescent="0.25">
      <c r="A5" s="1" t="s">
        <v>4</v>
      </c>
      <c r="B5" s="65" t="s">
        <v>5</v>
      </c>
      <c r="C5" s="65"/>
      <c r="D5" s="65"/>
      <c r="E5" s="65"/>
      <c r="J5" s="65" t="s">
        <v>60</v>
      </c>
      <c r="K5" s="65"/>
      <c r="L5" s="65"/>
      <c r="M5" s="65"/>
    </row>
    <row r="6" spans="1:15" x14ac:dyDescent="0.25">
      <c r="A6" s="1"/>
      <c r="B6" s="65" t="s">
        <v>57</v>
      </c>
      <c r="C6" s="65"/>
      <c r="D6" s="65"/>
      <c r="E6" s="65"/>
      <c r="J6" s="65" t="s">
        <v>61</v>
      </c>
      <c r="K6" s="65"/>
      <c r="L6" s="65"/>
      <c r="M6" s="65"/>
    </row>
    <row r="7" spans="1:15" x14ac:dyDescent="0.25">
      <c r="A7" s="1"/>
    </row>
    <row r="8" spans="1:15" x14ac:dyDescent="0.25">
      <c r="A8" s="1"/>
      <c r="B8" s="66" t="s">
        <v>6</v>
      </c>
      <c r="C8" s="66"/>
      <c r="D8" s="66"/>
      <c r="E8" s="66"/>
      <c r="I8" s="1"/>
      <c r="J8" s="67" t="s">
        <v>7</v>
      </c>
      <c r="K8" s="67"/>
      <c r="L8" s="2"/>
    </row>
    <row r="9" spans="1:15" x14ac:dyDescent="0.25">
      <c r="A9" s="1"/>
    </row>
    <row r="10" spans="1:15" x14ac:dyDescent="0.25">
      <c r="A10" s="46" t="s">
        <v>8</v>
      </c>
      <c r="B10" s="46"/>
      <c r="C10" s="46"/>
      <c r="D10" s="46"/>
      <c r="E10" s="46"/>
      <c r="F10" s="46"/>
      <c r="G10" s="46"/>
      <c r="H10" s="3"/>
      <c r="I10" s="46" t="s">
        <v>9</v>
      </c>
      <c r="J10" s="46"/>
      <c r="K10" s="46"/>
      <c r="L10" s="46"/>
      <c r="M10" s="46"/>
      <c r="N10" s="46"/>
      <c r="O10" s="46"/>
    </row>
    <row r="11" spans="1:15" x14ac:dyDescent="0.25">
      <c r="A11" s="4" t="s">
        <v>10</v>
      </c>
      <c r="B11" s="5" t="s">
        <v>11</v>
      </c>
      <c r="C11" s="4" t="s">
        <v>12</v>
      </c>
      <c r="D11" s="5">
        <v>54213</v>
      </c>
      <c r="E11" s="4"/>
      <c r="F11" s="59" t="s">
        <v>62</v>
      </c>
      <c r="G11" s="59"/>
      <c r="H11" s="3"/>
      <c r="I11" s="6" t="s">
        <v>13</v>
      </c>
      <c r="J11" s="60" t="s">
        <v>14</v>
      </c>
      <c r="K11" s="61"/>
      <c r="L11" s="6" t="s">
        <v>15</v>
      </c>
      <c r="M11" s="62" t="s">
        <v>16</v>
      </c>
      <c r="N11" s="63"/>
      <c r="O11" s="64"/>
    </row>
    <row r="12" spans="1:15" x14ac:dyDescent="0.25">
      <c r="A12" s="50" t="s">
        <v>17</v>
      </c>
      <c r="B12" s="50"/>
      <c r="C12" s="50"/>
      <c r="D12" s="50"/>
      <c r="E12" s="7"/>
      <c r="F12" s="8"/>
      <c r="G12" s="5"/>
      <c r="H12" s="3"/>
      <c r="I12" s="9" t="s">
        <v>18</v>
      </c>
      <c r="J12" s="10" t="s">
        <v>65</v>
      </c>
      <c r="K12" s="11"/>
      <c r="L12" s="12" t="s">
        <v>19</v>
      </c>
      <c r="M12" s="10" t="s">
        <v>65</v>
      </c>
      <c r="N12" s="13" t="s">
        <v>20</v>
      </c>
      <c r="O12" s="14" t="s">
        <v>21</v>
      </c>
    </row>
    <row r="13" spans="1:15" x14ac:dyDescent="0.25">
      <c r="A13" s="50" t="s">
        <v>22</v>
      </c>
      <c r="B13" s="50"/>
      <c r="C13" s="50"/>
      <c r="D13" s="50"/>
      <c r="E13" s="7">
        <f>L8</f>
        <v>0</v>
      </c>
      <c r="F13" s="15">
        <f>F12+F14</f>
        <v>0</v>
      </c>
      <c r="G13" s="5">
        <f>G12+G14</f>
        <v>0</v>
      </c>
      <c r="H13" s="3"/>
      <c r="I13" s="40" t="s">
        <v>17</v>
      </c>
      <c r="J13" s="41"/>
      <c r="K13" s="41"/>
      <c r="L13" s="51"/>
      <c r="M13" s="7"/>
      <c r="N13" s="15"/>
      <c r="O13" s="5"/>
    </row>
    <row r="14" spans="1:15" x14ac:dyDescent="0.25">
      <c r="A14" s="16"/>
      <c r="B14" s="50" t="s">
        <v>23</v>
      </c>
      <c r="C14" s="50"/>
      <c r="D14" s="40"/>
      <c r="E14" s="17"/>
      <c r="F14" s="18"/>
      <c r="G14" s="19"/>
      <c r="H14" s="3"/>
      <c r="I14" s="40" t="s">
        <v>22</v>
      </c>
      <c r="J14" s="41"/>
      <c r="K14" s="41"/>
      <c r="L14" s="51"/>
      <c r="M14" s="7">
        <f>L8</f>
        <v>0</v>
      </c>
      <c r="N14" s="15">
        <f>N13+N15</f>
        <v>0</v>
      </c>
      <c r="O14" s="5">
        <f>O13+O15</f>
        <v>0</v>
      </c>
    </row>
    <row r="15" spans="1:15" x14ac:dyDescent="0.25">
      <c r="A15" s="50" t="s">
        <v>24</v>
      </c>
      <c r="B15" s="50"/>
      <c r="C15" s="50"/>
      <c r="D15" s="50"/>
      <c r="E15" s="7">
        <v>44233</v>
      </c>
      <c r="F15" s="15" t="s">
        <v>25</v>
      </c>
      <c r="G15" s="5">
        <v>36062</v>
      </c>
      <c r="H15" s="3"/>
      <c r="I15" s="20"/>
      <c r="J15" s="56" t="s">
        <v>23</v>
      </c>
      <c r="K15" s="57"/>
      <c r="L15" s="57"/>
      <c r="M15" s="11"/>
      <c r="N15" s="15">
        <f>F14</f>
        <v>0</v>
      </c>
      <c r="O15" s="5">
        <f>G14</f>
        <v>0</v>
      </c>
    </row>
    <row r="16" spans="1:15" x14ac:dyDescent="0.25">
      <c r="A16" s="4"/>
      <c r="B16" s="50" t="s">
        <v>26</v>
      </c>
      <c r="C16" s="50"/>
      <c r="D16" s="40"/>
      <c r="E16" s="21"/>
      <c r="F16" s="15">
        <v>166.66666666666666</v>
      </c>
      <c r="G16" s="5"/>
      <c r="H16" s="3"/>
      <c r="I16" s="58" t="s">
        <v>27</v>
      </c>
      <c r="J16" s="58"/>
      <c r="K16" s="58"/>
      <c r="L16" s="58"/>
      <c r="M16" s="52"/>
      <c r="N16" s="53"/>
      <c r="O16" s="54"/>
    </row>
    <row r="17" spans="1:15" x14ac:dyDescent="0.25">
      <c r="A17" s="4" t="s">
        <v>28</v>
      </c>
      <c r="B17" s="4"/>
      <c r="C17" s="16"/>
      <c r="D17" s="16"/>
      <c r="E17" s="7">
        <v>43809</v>
      </c>
      <c r="F17" s="15" t="s">
        <v>68</v>
      </c>
      <c r="G17" s="5">
        <v>18023</v>
      </c>
      <c r="H17" s="3"/>
      <c r="I17" s="50" t="s">
        <v>29</v>
      </c>
      <c r="J17" s="50"/>
      <c r="K17" s="50"/>
      <c r="L17" s="50"/>
      <c r="M17" s="22"/>
      <c r="N17" s="5"/>
      <c r="O17" s="5"/>
    </row>
    <row r="18" spans="1:15" x14ac:dyDescent="0.25">
      <c r="A18" s="4"/>
      <c r="B18" s="50" t="s">
        <v>30</v>
      </c>
      <c r="C18" s="50"/>
      <c r="D18" s="40"/>
      <c r="E18" s="21"/>
      <c r="F18" s="15" t="s">
        <v>31</v>
      </c>
      <c r="G18" s="5"/>
      <c r="H18" s="3"/>
      <c r="I18" s="50" t="s">
        <v>32</v>
      </c>
      <c r="J18" s="50"/>
      <c r="K18" s="50"/>
      <c r="L18" s="50"/>
      <c r="M18" s="22"/>
      <c r="N18" s="5"/>
      <c r="O18" s="5"/>
    </row>
    <row r="19" spans="1:15" x14ac:dyDescent="0.25">
      <c r="A19" s="3"/>
      <c r="B19" s="3"/>
      <c r="C19" s="3"/>
      <c r="D19" s="3"/>
      <c r="E19" s="23"/>
      <c r="F19" s="3"/>
      <c r="G19" s="3"/>
      <c r="H19" s="3"/>
      <c r="I19" s="4"/>
      <c r="J19" s="40" t="s">
        <v>33</v>
      </c>
      <c r="K19" s="41"/>
      <c r="L19" s="41"/>
      <c r="M19" s="51"/>
      <c r="N19" s="5">
        <f>N18-N17</f>
        <v>0</v>
      </c>
      <c r="O19" s="5">
        <f>O18-O17</f>
        <v>0</v>
      </c>
    </row>
    <row r="20" spans="1:15" x14ac:dyDescent="0.25">
      <c r="A20" s="46" t="s">
        <v>34</v>
      </c>
      <c r="B20" s="46"/>
      <c r="C20" s="46"/>
      <c r="D20" s="46"/>
      <c r="E20" s="46"/>
      <c r="F20" s="46"/>
      <c r="G20" s="46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4" t="s">
        <v>35</v>
      </c>
      <c r="B21" s="5" t="s">
        <v>69</v>
      </c>
      <c r="C21" s="4" t="s">
        <v>36</v>
      </c>
      <c r="D21" s="5">
        <v>885032</v>
      </c>
      <c r="E21" s="55" t="s">
        <v>37</v>
      </c>
      <c r="F21" s="55"/>
      <c r="G21" s="5" t="s">
        <v>55</v>
      </c>
      <c r="H21" s="3"/>
      <c r="I21" s="46" t="s">
        <v>38</v>
      </c>
      <c r="J21" s="46"/>
      <c r="K21" s="46"/>
      <c r="L21" s="46"/>
      <c r="M21" s="46"/>
      <c r="N21" s="46"/>
      <c r="O21" s="46"/>
    </row>
    <row r="22" spans="1:15" x14ac:dyDescent="0.25">
      <c r="A22" s="4" t="s">
        <v>39</v>
      </c>
      <c r="B22" s="5" t="s">
        <v>63</v>
      </c>
      <c r="C22" s="16"/>
      <c r="D22" s="4" t="s">
        <v>40</v>
      </c>
      <c r="E22" s="5" t="s">
        <v>63</v>
      </c>
      <c r="F22" s="19" t="s">
        <v>20</v>
      </c>
      <c r="G22" s="19" t="s">
        <v>21</v>
      </c>
      <c r="H22" s="3"/>
      <c r="I22" s="24" t="s">
        <v>41</v>
      </c>
      <c r="J22" s="50" t="s">
        <v>42</v>
      </c>
      <c r="K22" s="50"/>
      <c r="L22" s="50"/>
      <c r="M22" s="22">
        <f>L8</f>
        <v>0</v>
      </c>
      <c r="N22" s="15"/>
      <c r="O22" s="5"/>
    </row>
    <row r="23" spans="1:15" x14ac:dyDescent="0.25">
      <c r="A23" s="50" t="s">
        <v>17</v>
      </c>
      <c r="B23" s="50"/>
      <c r="C23" s="50"/>
      <c r="D23" s="50"/>
      <c r="E23" s="7"/>
      <c r="F23" s="15"/>
      <c r="G23" s="5"/>
      <c r="H23" s="3"/>
      <c r="I23" s="25" t="s">
        <v>70</v>
      </c>
      <c r="J23" s="50" t="s">
        <v>43</v>
      </c>
      <c r="K23" s="50"/>
      <c r="L23" s="50"/>
      <c r="M23" s="22">
        <v>41850</v>
      </c>
      <c r="N23" s="22"/>
      <c r="O23" s="5"/>
    </row>
    <row r="24" spans="1:15" x14ac:dyDescent="0.25">
      <c r="A24" s="50" t="s">
        <v>22</v>
      </c>
      <c r="B24" s="50"/>
      <c r="C24" s="50"/>
      <c r="D24" s="50"/>
      <c r="E24" s="7">
        <f>L8</f>
        <v>0</v>
      </c>
      <c r="F24" s="15">
        <f>F23+F25</f>
        <v>0</v>
      </c>
      <c r="G24" s="5">
        <f>G23+G25</f>
        <v>0</v>
      </c>
      <c r="H24" s="3"/>
      <c r="I24" s="26"/>
      <c r="J24" s="16"/>
      <c r="K24" s="50" t="s">
        <v>44</v>
      </c>
      <c r="L24" s="50"/>
      <c r="M24" s="5" t="s">
        <v>45</v>
      </c>
      <c r="N24" s="16"/>
      <c r="O24" s="5">
        <v>21000</v>
      </c>
    </row>
    <row r="25" spans="1:15" x14ac:dyDescent="0.25">
      <c r="A25" s="20"/>
      <c r="B25" s="50" t="s">
        <v>23</v>
      </c>
      <c r="C25" s="50"/>
      <c r="D25" s="40"/>
      <c r="E25" s="11"/>
      <c r="F25" s="15">
        <f>F14</f>
        <v>0</v>
      </c>
      <c r="G25" s="5">
        <f>G14</f>
        <v>0</v>
      </c>
      <c r="H25" s="3"/>
      <c r="I25" s="24" t="s">
        <v>46</v>
      </c>
      <c r="J25" s="50" t="s">
        <v>42</v>
      </c>
      <c r="K25" s="50"/>
      <c r="L25" s="50"/>
      <c r="M25" s="22">
        <f>L8</f>
        <v>0</v>
      </c>
      <c r="N25" s="15"/>
      <c r="O25" s="5"/>
    </row>
    <row r="26" spans="1:15" x14ac:dyDescent="0.25">
      <c r="A26" s="27"/>
      <c r="B26" s="50" t="s">
        <v>47</v>
      </c>
      <c r="C26" s="50"/>
      <c r="D26" s="40"/>
      <c r="E26" s="7">
        <v>42774</v>
      </c>
      <c r="F26" s="15"/>
      <c r="G26" s="5"/>
      <c r="H26" s="3"/>
      <c r="I26" s="25" t="s">
        <v>71</v>
      </c>
      <c r="J26" s="50" t="s">
        <v>43</v>
      </c>
      <c r="K26" s="50"/>
      <c r="L26" s="50"/>
      <c r="M26" s="22">
        <v>41850</v>
      </c>
      <c r="N26" s="22"/>
      <c r="O26" s="5"/>
    </row>
    <row r="27" spans="1:15" x14ac:dyDescent="0.25">
      <c r="H27" s="3"/>
      <c r="I27" s="26"/>
      <c r="J27" s="16"/>
      <c r="K27" s="50" t="s">
        <v>44</v>
      </c>
      <c r="L27" s="50"/>
      <c r="M27" s="5" t="s">
        <v>45</v>
      </c>
      <c r="N27" s="16"/>
      <c r="O27" s="5">
        <v>21000</v>
      </c>
    </row>
    <row r="28" spans="1:15" x14ac:dyDescent="0.25">
      <c r="A28" s="42" t="s">
        <v>48</v>
      </c>
      <c r="B28" s="42"/>
      <c r="C28" s="42"/>
      <c r="D28" s="42"/>
      <c r="E28" s="42"/>
      <c r="F28" s="42"/>
      <c r="G28" s="42"/>
      <c r="H28" s="3"/>
      <c r="I28" s="24" t="s">
        <v>49</v>
      </c>
      <c r="J28" s="50" t="s">
        <v>42</v>
      </c>
      <c r="K28" s="50"/>
      <c r="L28" s="50"/>
      <c r="M28" s="22">
        <f>L8</f>
        <v>0</v>
      </c>
      <c r="N28" s="15"/>
      <c r="O28" s="5"/>
    </row>
    <row r="29" spans="1:15" x14ac:dyDescent="0.25">
      <c r="A29" s="4" t="s">
        <v>35</v>
      </c>
      <c r="B29" s="5" t="s">
        <v>69</v>
      </c>
      <c r="C29" s="4" t="s">
        <v>36</v>
      </c>
      <c r="D29" s="5">
        <v>872541</v>
      </c>
      <c r="E29" s="6" t="s">
        <v>37</v>
      </c>
      <c r="F29" s="6"/>
      <c r="G29" s="5" t="s">
        <v>55</v>
      </c>
      <c r="H29" s="3"/>
      <c r="I29" s="25" t="s">
        <v>72</v>
      </c>
      <c r="J29" s="50" t="s">
        <v>43</v>
      </c>
      <c r="K29" s="50"/>
      <c r="L29" s="50"/>
      <c r="M29" s="22">
        <v>41850</v>
      </c>
      <c r="N29" s="22"/>
      <c r="O29" s="5"/>
    </row>
    <row r="30" spans="1:15" x14ac:dyDescent="0.25">
      <c r="A30" s="4" t="s">
        <v>39</v>
      </c>
      <c r="B30" s="5" t="s">
        <v>64</v>
      </c>
      <c r="C30" s="16"/>
      <c r="D30" s="4" t="s">
        <v>40</v>
      </c>
      <c r="E30" s="5" t="s">
        <v>64</v>
      </c>
      <c r="F30" s="19" t="s">
        <v>20</v>
      </c>
      <c r="G30" s="19" t="s">
        <v>21</v>
      </c>
      <c r="H30" s="3"/>
      <c r="I30" s="26"/>
      <c r="J30" s="16"/>
      <c r="K30" s="50" t="s">
        <v>44</v>
      </c>
      <c r="L30" s="50"/>
      <c r="M30" s="5" t="s">
        <v>45</v>
      </c>
      <c r="N30" s="16"/>
      <c r="O30" s="5">
        <v>21000</v>
      </c>
    </row>
    <row r="31" spans="1:15" x14ac:dyDescent="0.25">
      <c r="A31" s="40" t="s">
        <v>17</v>
      </c>
      <c r="B31" s="41"/>
      <c r="C31" s="41"/>
      <c r="D31" s="51"/>
      <c r="E31" s="7"/>
      <c r="F31" s="15"/>
      <c r="G31" s="5"/>
      <c r="H31" s="3"/>
      <c r="I31" s="3"/>
      <c r="J31" s="3"/>
      <c r="K31" s="3"/>
      <c r="L31" s="3"/>
      <c r="M31" s="3"/>
      <c r="N31" s="3"/>
      <c r="O31" s="3"/>
    </row>
    <row r="32" spans="1:15" x14ac:dyDescent="0.25">
      <c r="A32" s="40" t="s">
        <v>22</v>
      </c>
      <c r="B32" s="41"/>
      <c r="C32" s="41"/>
      <c r="D32" s="51"/>
      <c r="E32" s="7">
        <f>L8</f>
        <v>0</v>
      </c>
      <c r="F32" s="15">
        <f>F31+F33</f>
        <v>0</v>
      </c>
      <c r="G32" s="5">
        <f>G31+G33</f>
        <v>0</v>
      </c>
      <c r="H32" s="3"/>
      <c r="I32" s="46" t="s">
        <v>50</v>
      </c>
      <c r="J32" s="46"/>
      <c r="K32" s="46"/>
      <c r="L32" s="46"/>
      <c r="M32" s="46"/>
      <c r="N32" s="46"/>
      <c r="O32" s="46"/>
    </row>
    <row r="33" spans="1:15" x14ac:dyDescent="0.25">
      <c r="A33" s="20"/>
      <c r="B33" s="40" t="s">
        <v>23</v>
      </c>
      <c r="C33" s="41"/>
      <c r="D33" s="41"/>
      <c r="E33" s="11"/>
      <c r="F33" s="15">
        <f>F14</f>
        <v>0</v>
      </c>
      <c r="G33" s="5">
        <f>G14</f>
        <v>0</v>
      </c>
      <c r="H33" s="3"/>
      <c r="I33" s="47" t="s">
        <v>51</v>
      </c>
      <c r="J33" s="47"/>
      <c r="K33" s="48" t="s">
        <v>52</v>
      </c>
      <c r="L33" s="48"/>
      <c r="M33" s="49">
        <v>44957</v>
      </c>
      <c r="N33" s="49"/>
      <c r="O33" s="49"/>
    </row>
    <row r="34" spans="1:15" x14ac:dyDescent="0.25">
      <c r="A34" s="27"/>
      <c r="B34" s="40" t="s">
        <v>47</v>
      </c>
      <c r="C34" s="41"/>
      <c r="D34" s="41"/>
      <c r="E34" s="7">
        <v>42793</v>
      </c>
      <c r="F34" s="15"/>
      <c r="G34" s="5"/>
      <c r="H34" s="3"/>
    </row>
    <row r="35" spans="1:15" x14ac:dyDescent="0.25">
      <c r="H35" s="3"/>
      <c r="I35" s="46" t="s">
        <v>54</v>
      </c>
      <c r="J35" s="46"/>
      <c r="K35" s="46"/>
      <c r="L35" s="46"/>
      <c r="M35" s="46"/>
      <c r="N35" s="46"/>
      <c r="O35" s="46"/>
    </row>
    <row r="36" spans="1:15" x14ac:dyDescent="0.25">
      <c r="A36" s="42" t="s">
        <v>53</v>
      </c>
      <c r="B36" s="42"/>
      <c r="C36" s="42"/>
      <c r="D36" s="42"/>
      <c r="E36" s="42"/>
      <c r="F36" s="42"/>
      <c r="G36" s="42"/>
      <c r="H36" s="3"/>
      <c r="I36" s="43"/>
      <c r="J36" s="44"/>
      <c r="K36" s="44"/>
      <c r="L36" s="44"/>
      <c r="M36" s="44"/>
      <c r="N36" s="44"/>
      <c r="O36" s="45"/>
    </row>
    <row r="37" spans="1:15" x14ac:dyDescent="0.25">
      <c r="A37" s="28"/>
      <c r="B37" s="29"/>
      <c r="C37" s="29"/>
      <c r="D37" s="29"/>
      <c r="E37" s="29"/>
      <c r="F37" s="29"/>
      <c r="G37" s="30"/>
      <c r="I37" s="31"/>
      <c r="J37" s="32"/>
      <c r="K37" s="32"/>
      <c r="L37" s="32"/>
      <c r="M37" s="32"/>
      <c r="N37" s="32"/>
      <c r="O37" s="33"/>
    </row>
    <row r="38" spans="1:15" x14ac:dyDescent="0.25">
      <c r="A38" s="34"/>
      <c r="B38" s="35"/>
      <c r="C38" s="35"/>
      <c r="D38" s="35"/>
      <c r="E38" s="35"/>
      <c r="F38" s="35"/>
      <c r="G38" s="36"/>
      <c r="I38" s="37"/>
      <c r="J38" s="38"/>
      <c r="K38" s="38"/>
      <c r="L38" s="38"/>
      <c r="M38" s="38"/>
      <c r="N38" s="38"/>
      <c r="O38" s="39"/>
    </row>
  </sheetData>
  <mergeCells count="61">
    <mergeCell ref="J2:M2"/>
    <mergeCell ref="J3:M3"/>
    <mergeCell ref="B4:E4"/>
    <mergeCell ref="J4:M4"/>
    <mergeCell ref="B5:E5"/>
    <mergeCell ref="J5:M5"/>
    <mergeCell ref="B6:E6"/>
    <mergeCell ref="J6:M6"/>
    <mergeCell ref="B8:E8"/>
    <mergeCell ref="J8:K8"/>
    <mergeCell ref="A10:G10"/>
    <mergeCell ref="I10:O10"/>
    <mergeCell ref="F11:G11"/>
    <mergeCell ref="J11:K11"/>
    <mergeCell ref="M11:O11"/>
    <mergeCell ref="A12:D12"/>
    <mergeCell ref="A13:D13"/>
    <mergeCell ref="I13:L13"/>
    <mergeCell ref="B14:D14"/>
    <mergeCell ref="I14:L14"/>
    <mergeCell ref="A15:D15"/>
    <mergeCell ref="J15:L15"/>
    <mergeCell ref="B16:D16"/>
    <mergeCell ref="I16:L16"/>
    <mergeCell ref="A24:D24"/>
    <mergeCell ref="K24:L24"/>
    <mergeCell ref="M16:O16"/>
    <mergeCell ref="I17:L17"/>
    <mergeCell ref="B18:D18"/>
    <mergeCell ref="I18:L18"/>
    <mergeCell ref="J19:M19"/>
    <mergeCell ref="A20:G20"/>
    <mergeCell ref="E21:F21"/>
    <mergeCell ref="I21:O21"/>
    <mergeCell ref="J22:L22"/>
    <mergeCell ref="A23:D23"/>
    <mergeCell ref="J23:L23"/>
    <mergeCell ref="B33:D33"/>
    <mergeCell ref="I33:J33"/>
    <mergeCell ref="K33:L33"/>
    <mergeCell ref="M33:O33"/>
    <mergeCell ref="B25:D25"/>
    <mergeCell ref="J25:L25"/>
    <mergeCell ref="B26:D26"/>
    <mergeCell ref="J26:L26"/>
    <mergeCell ref="K27:L27"/>
    <mergeCell ref="A28:G28"/>
    <mergeCell ref="J28:L28"/>
    <mergeCell ref="J29:L29"/>
    <mergeCell ref="K30:L30"/>
    <mergeCell ref="A31:D31"/>
    <mergeCell ref="A32:D32"/>
    <mergeCell ref="I32:O32"/>
    <mergeCell ref="A37:G37"/>
    <mergeCell ref="I37:O37"/>
    <mergeCell ref="A38:G38"/>
    <mergeCell ref="I38:O38"/>
    <mergeCell ref="B34:D34"/>
    <mergeCell ref="A36:G36"/>
    <mergeCell ref="I36:O36"/>
    <mergeCell ref="I35:O35"/>
  </mergeCells>
  <pageMargins left="0.7" right="0.7" top="0.75" bottom="0.75" header="0.3" footer="0.3"/>
  <pageSetup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Month">
                <anchor moveWithCells="1" sizeWithCells="1">
                  <from>
                    <xdr:col>16</xdr:col>
                    <xdr:colOff>95250</xdr:colOff>
                    <xdr:row>1</xdr:row>
                    <xdr:rowOff>19050</xdr:rowOff>
                  </from>
                  <to>
                    <xdr:col>18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6505c-9a93-4f93-9361-6f6b35133e1b" xsi:nil="true"/>
    <lffa6248a9a44757ac58000127414536 xmlns="ad2add61-5b8f-4843-a131-63ba5fb95b8b">
      <Terms xmlns="http://schemas.microsoft.com/office/infopath/2007/PartnerControls"/>
    </lffa6248a9a44757ac58000127414536>
    <lcf76f155ced4ddcb4097134ff3c332f xmlns="ad2add61-5b8f-4843-a131-63ba5fb95b8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02F211CC60444FB99F05055B32E658" ma:contentTypeVersion="19" ma:contentTypeDescription="Create a new document." ma:contentTypeScope="" ma:versionID="7b7205db7bb0d5beb9de11bf93e48d99">
  <xsd:schema xmlns:xsd="http://www.w3.org/2001/XMLSchema" xmlns:xs="http://www.w3.org/2001/XMLSchema" xmlns:p="http://schemas.microsoft.com/office/2006/metadata/properties" xmlns:ns2="ad2add61-5b8f-4843-a131-63ba5fb95b8b" xmlns:ns3="a5d6505c-9a93-4f93-9361-6f6b35133e1b" targetNamespace="http://schemas.microsoft.com/office/2006/metadata/properties" ma:root="true" ma:fieldsID="1c682c55facc3459546d5ed3ecc83825" ns2:_="" ns3:_="">
    <xsd:import namespace="ad2add61-5b8f-4843-a131-63ba5fb95b8b"/>
    <xsd:import namespace="a5d6505c-9a93-4f93-9361-6f6b35133e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ffa6248a9a44757ac58000127414536" minOccurs="0"/>
                <xsd:element ref="ns3:TaxCatchAll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2add61-5b8f-4843-a131-63ba5fb95b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ffa6248a9a44757ac58000127414536" ma:index="11" nillable="true" ma:taxonomy="true" ma:internalName="lffa6248a9a44757ac58000127414536" ma:taxonomyFieldName="_x002d_Category" ma:displayName="-Category" ma:default="" ma:fieldId="{5ffa6248-a9a4-4757-ac58-000127414536}" ma:sspId="f37201ed-5a62-487f-a3a0-d8ee184a7d8f" ma:termSetId="741572b1-1880-4c4b-b1de-93da52ceab2b" ma:anchorId="d139829a-79cd-474c-a85d-118691adf02e" ma:open="true" ma:isKeyword="false">
      <xsd:complexType>
        <xsd:sequence>
          <xsd:element ref="pc:Terms" minOccurs="0" maxOccurs="1"/>
        </xsd:sequence>
      </xsd:complex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37201ed-5a62-487f-a3a0-d8ee184a7d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6505c-9a93-4f93-9361-6f6b35133e1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05b3a969-669e-4797-b948-80c521ce5a16}" ma:internalName="TaxCatchAll" ma:showField="CatchAllData" ma:web="a5d6505c-9a93-4f93-9361-6f6b35133e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128F6B-C602-48D9-91DF-8BE47FB94D7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5d6505c-9a93-4f93-9361-6f6b35133e1b"/>
    <ds:schemaRef ds:uri="ad2add61-5b8f-4843-a131-63ba5fb95b8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06B07FD-BF9F-4359-B0B7-4F0A53402D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940EC0-B1C4-466A-83B1-8ECBB3CF1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2add61-5b8f-4843-a131-63ba5fb95b8b"/>
    <ds:schemaRef ds:uri="a5d6505c-9a93-4f93-9361-6f6b35133e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Jan 2023</vt:lpstr>
      <vt:lpstr>Blank</vt:lpstr>
      <vt:lpstr>Blank!Print_Area</vt:lpstr>
      <vt:lpstr>'Jan 2023'!Print_Area</vt:lpstr>
    </vt:vector>
  </TitlesOfParts>
  <Company>First Air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Trahan</dc:creator>
  <cp:lastModifiedBy>Melissa A</cp:lastModifiedBy>
  <cp:lastPrinted>2023-12-05T10:16:12Z</cp:lastPrinted>
  <dcterms:created xsi:type="dcterms:W3CDTF">2023-03-15T17:12:08Z</dcterms:created>
  <dcterms:modified xsi:type="dcterms:W3CDTF">2023-12-30T23:05:37Z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0x0101001702F211CC60444FB99F05055B32E658</vt:lpwstr>
  </property>
  <property fmtid="{D5CDD505-2E9C-101B-9397-08002B2CF9AE}" pid="3" name="-Category">
    <vt:lpwstr/>
  </property>
  <property fmtid="{D5CDD505-2E9C-101B-9397-08002B2CF9AE}" pid="4" name="MediaServiceImageTags">
    <vt:lpwstr/>
  </property>
</Properties>
</file>